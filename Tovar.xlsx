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K:\4 курс\демо\ЗАДАНИЕ ДЭ\Модуль 1\import\"/>
    </mc:Choice>
  </mc:AlternateContent>
  <xr:revisionPtr revIDLastSave="0" documentId="13_ncr:1_{418A9A98-858A-4BDC-884C-2486F9E68A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  <sheet name="Categories" sheetId="8" r:id="rId2"/>
    <sheet name="Suppliers" sheetId="6" r:id="rId3"/>
    <sheet name="Manufactirers" sheetId="7" r:id="rId4"/>
    <sheet name="Users" sheetId="2" r:id="rId5"/>
    <sheet name="Roles" sheetId="9" r:id="rId6"/>
    <sheet name="Orders" sheetId="4" r:id="rId7"/>
    <sheet name="Statuses" sheetId="11" r:id="rId8"/>
    <sheet name="OrderItems" sheetId="10" r:id="rId9"/>
    <sheet name="Points" sheetId="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2" i="5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" i="10"/>
  <c r="A3" i="2"/>
  <c r="A4" i="2"/>
  <c r="A5" i="2"/>
  <c r="A6" i="2"/>
  <c r="A7" i="2"/>
  <c r="A8" i="2"/>
  <c r="A9" i="2"/>
  <c r="A10" i="2"/>
  <c r="A11" i="2"/>
  <c r="A2" i="2"/>
  <c r="A3" i="1"/>
  <c r="A4" i="1"/>
  <c r="A5" i="1"/>
  <c r="A6" i="1"/>
  <c r="A7" i="1"/>
  <c r="A8" i="1"/>
  <c r="A9" i="1"/>
  <c r="A10" i="1"/>
  <c r="A11" i="1"/>
  <c r="A2" i="1"/>
  <c r="A3" i="8"/>
  <c r="A4" i="8"/>
  <c r="A5" i="8"/>
  <c r="A2" i="8"/>
  <c r="A3" i="7"/>
  <c r="A4" i="7"/>
  <c r="A2" i="7"/>
  <c r="A3" i="6"/>
  <c r="A4" i="6"/>
  <c r="A5" i="6"/>
  <c r="A6" i="6"/>
  <c r="A2" i="6"/>
</calcChain>
</file>

<file path=xl/sharedStrings.xml><?xml version="1.0" encoding="utf-8"?>
<sst xmlns="http://schemas.openxmlformats.org/spreadsheetml/2006/main" count="175" uniqueCount="145">
  <si>
    <t>шт.</t>
  </si>
  <si>
    <t>PMEZMH</t>
  </si>
  <si>
    <t>BPV4MM</t>
  </si>
  <si>
    <t>JVL42J</t>
  </si>
  <si>
    <t>F895RB</t>
  </si>
  <si>
    <t>3XBOTN</t>
  </si>
  <si>
    <t>3L7RCZ</t>
  </si>
  <si>
    <t>S72AM3</t>
  </si>
  <si>
    <t>2G3280</t>
  </si>
  <si>
    <t>MIO8YV</t>
  </si>
  <si>
    <t>UER2QD</t>
  </si>
  <si>
    <t>Knauf</t>
  </si>
  <si>
    <t>Vinylon</t>
  </si>
  <si>
    <t>Детский игровой набор машинок Щенячий патруль / Dogs mini . 9 героев + 9 инерфионных машинок</t>
  </si>
  <si>
    <t xml:space="preserve">Детский набор машинок с героями мультсериала «Щенячий патруль» подойдет как для мальчиков, так и для девочек. В детский набор входит 9 фигурок щенков спасателей. </t>
  </si>
  <si>
    <t>Игровой набор</t>
  </si>
  <si>
    <t>1.jpg</t>
  </si>
  <si>
    <t>Pikeshop</t>
  </si>
  <si>
    <t>ABSпластик</t>
  </si>
  <si>
    <t>Конструктор Гарри Поттер Сова Букля 630 деталей совместим с lego harry potter, лего совместимый)</t>
  </si>
  <si>
    <t>Playbig</t>
  </si>
  <si>
    <t>Коллекционная модель Букля состоит из множества потрясающих элементов, а также специального механизма внутри. С его помощью можно плавно поднимать-опускать крылья птицы.</t>
  </si>
  <si>
    <t>2.jpg</t>
  </si>
  <si>
    <t>Конструктор</t>
  </si>
  <si>
    <t>Музыкальные инструменты для детей, ксилофон, барабаны, развивающие игрушки, игрушки для детей</t>
  </si>
  <si>
    <t>BambiniFelici</t>
  </si>
  <si>
    <t>Откройте мир музыки для вашего ребенка с этой уникальной игрушкой! Это многофункциональное музыкальное чудо объединяет в себе всё, что нужно для творческого развития.</t>
  </si>
  <si>
    <t>3.jpg</t>
  </si>
  <si>
    <t>Машинка игрушка диско шар светящаяся музыкальная</t>
  </si>
  <si>
    <t>Машинка</t>
  </si>
  <si>
    <t>Светящаяся музыкальная машина с диско шаром переливается разными цветами, играет ритмичные мелодии, объезжает препятствия и крутится, поэтому с ней точно не будет скучно.</t>
  </si>
  <si>
    <t>4.jpg</t>
  </si>
  <si>
    <t>Игровой набор Hot Wheels Action Loop Cyclone Challenge Track, с машинкой и удобным хранением, HTK16</t>
  </si>
  <si>
    <t>Игровой набор Hot Wheels Action Loop Cyclone Challenge Track - это уникальная игра, которая позволит вам испытать себя и своих друзей в скорости и ловкости. Этот набор состоит из металлической дорожки с циклоном, которая создает потрясающий эффект и добавляет дополнительную сложность в игру.</t>
  </si>
  <si>
    <t>5.jpg</t>
  </si>
  <si>
    <t>Игровой набор с деревянными машинками Стройплощадка Кран-Паркс, Junion</t>
  </si>
  <si>
    <t>Junion</t>
  </si>
  <si>
    <t>Игровой набор «Стройплощадка Кран-Паркс Junion» — это большая игрушечная парковка с деревянными машинками и настоящим подъёмным краном, придуманная в Яндексе настоящими родителями.</t>
  </si>
  <si>
    <t>6.jpg</t>
  </si>
  <si>
    <t>Детский музыкальный инструмент</t>
  </si>
  <si>
    <t>Синтезатор детский с микрофоном 61 клавиша</t>
  </si>
  <si>
    <t>CHILITOY</t>
  </si>
  <si>
    <t>Откройте для ребенка дверь в мир музыки с детским синтезатором! Этот компактный инструмент с микрофоном станет верным другом для юных музыкантов, помогая им развивать творческий потенциал и получать удовольствие от игры.</t>
  </si>
  <si>
    <t>Деревянный игровой набор JUNION Стройплощадка "Кран-Паркс" с подъёмным, строительным краном и машинками, 18 предметов, подвижные элементы</t>
  </si>
  <si>
    <t>7.jpg</t>
  </si>
  <si>
    <t>8.jpg</t>
  </si>
  <si>
    <t>Музыкальная игрушка интерактивная Пульт, детский прорезыватель для малышей</t>
  </si>
  <si>
    <t>9.jpg</t>
  </si>
  <si>
    <t>Большой набор опытов и экспериментов для детей 14 в 1</t>
  </si>
  <si>
    <t>10.jpg</t>
  </si>
  <si>
    <t>Администратор</t>
  </si>
  <si>
    <t>Ворсин Петр Евгеньевич</t>
  </si>
  <si>
    <t>94d5ous@gmail.com</t>
  </si>
  <si>
    <t>uzWC67</t>
  </si>
  <si>
    <t>Старикова Елена Павловна</t>
  </si>
  <si>
    <t>uth4iz@mail.com</t>
  </si>
  <si>
    <t>2L6KZG</t>
  </si>
  <si>
    <t>Одинцов Серафим Артёмович</t>
  </si>
  <si>
    <t>yzls62@outlook.com</t>
  </si>
  <si>
    <t>JlFRCZ</t>
  </si>
  <si>
    <t>Менеджер</t>
  </si>
  <si>
    <t>Михайлюк Анна Вячеславовна</t>
  </si>
  <si>
    <t>1diph5e@tutanota.com</t>
  </si>
  <si>
    <t>8ntwUp</t>
  </si>
  <si>
    <t>Ситдикова Елена Анатольевна</t>
  </si>
  <si>
    <t>tjde7c@yahoo.com</t>
  </si>
  <si>
    <t>YOyhfR</t>
  </si>
  <si>
    <t>Никифорова Весения Николаевна</t>
  </si>
  <si>
    <t>wpmrc3do@tutanota.com</t>
  </si>
  <si>
    <t>RSbvHv</t>
  </si>
  <si>
    <t>Авторизированный клиент</t>
  </si>
  <si>
    <t>Степанов Михаил Артёмович</t>
  </si>
  <si>
    <t>5d4zbu@tutanota.com</t>
  </si>
  <si>
    <t>rwVDh9</t>
  </si>
  <si>
    <t>ptec8ym@yahoo.com</t>
  </si>
  <si>
    <t>LdNyos</t>
  </si>
  <si>
    <t>1qz4kw@mail.com</t>
  </si>
  <si>
    <t>gynQMT</t>
  </si>
  <si>
    <t>Сазонов Руслан Германович</t>
  </si>
  <si>
    <t>4np6se@mail.com</t>
  </si>
  <si>
    <t>AtnDjr</t>
  </si>
  <si>
    <t>Завершен</t>
  </si>
  <si>
    <t>30.02.2025</t>
  </si>
  <si>
    <t>420151, г. Лесной, ул. Вишневая, 32</t>
  </si>
  <si>
    <t>125061, г. Лесной, ул. Подгорная, 8</t>
  </si>
  <si>
    <t>630370, г. Лесной, ул. Шоссейная, 24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</si>
  <si>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</si>
  <si>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</si>
  <si>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</si>
  <si>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</si>
  <si>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</si>
  <si>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</si>
  <si>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</si>
  <si>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</si>
  <si>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</si>
  <si>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</si>
  <si>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</si>
  <si>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</si>
  <si>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</si>
  <si>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</si>
  <si>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</si>
  <si>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</si>
  <si>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</si>
  <si>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</si>
  <si>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</si>
  <si>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</si>
  <si>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</si>
  <si>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</si>
  <si>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</si>
  <si>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</si>
  <si>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</si>
  <si>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</si>
  <si>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</si>
  <si>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</si>
  <si>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</si>
  <si>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</si>
  <si>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</si>
  <si>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</si>
  <si>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</si>
  <si>
    <t>Articul</t>
  </si>
  <si>
    <t>Name</t>
  </si>
  <si>
    <t>Measure</t>
  </si>
  <si>
    <t>Price</t>
  </si>
  <si>
    <t>SupplierId</t>
  </si>
  <si>
    <t>ManufacturerId</t>
  </si>
  <si>
    <t>CategoryId</t>
  </si>
  <si>
    <t>Discount</t>
  </si>
  <si>
    <t>Count</t>
  </si>
  <si>
    <t>Description</t>
  </si>
  <si>
    <t>Photo</t>
  </si>
  <si>
    <t>Id</t>
  </si>
  <si>
    <t>RoleId</t>
  </si>
  <si>
    <t>FullName</t>
  </si>
  <si>
    <t>Login</t>
  </si>
  <si>
    <t>Password</t>
  </si>
  <si>
    <t>ProductId</t>
  </si>
  <si>
    <t>OrderId</t>
  </si>
  <si>
    <t>Number</t>
  </si>
  <si>
    <t>DateCreated</t>
  </si>
  <si>
    <t>DateDelivered</t>
  </si>
  <si>
    <t>PointId</t>
  </si>
  <si>
    <t>UserId</t>
  </si>
  <si>
    <t>Новый</t>
  </si>
  <si>
    <t>Code</t>
  </si>
  <si>
    <t>StatusId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</si>
</sst>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="60" zoomScaleNormal="60" workbookViewId="0">
      <selection activeCell="P2" sqref="P2"/>
    </sheetView>
  </sheetViews>
  <sheetFormatPr defaultColWidth="11.19921875" defaultRowHeight="15.6"/>
  <cols>
    <col min="1" max="1" width="11.19921875" style="8"/>
    <col min="3" max="3" width="16.69921875" customWidth="1"/>
    <col min="4" max="4" width="21.69921875" customWidth="1"/>
    <col min="6" max="6" width="21.296875" customWidth="1"/>
    <col min="7" max="7" width="23.19921875" customWidth="1"/>
    <col min="8" max="8" width="22.296875" customWidth="1"/>
    <col min="11" max="11" width="75" customWidth="1"/>
    <col min="12" max="12" width="22" customWidth="1"/>
  </cols>
  <sheetData>
    <row r="1" spans="1:12">
      <c r="A1" s="8" t="s">
        <v>130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</row>
    <row r="2" spans="1:12" ht="109.2">
      <c r="A2" s="8">
        <f>ROW()-2</f>
        <v>0</v>
      </c>
      <c r="B2" s="2" t="s">
        <v>1</v>
      </c>
      <c r="C2" s="2" t="s">
        <v>13</v>
      </c>
      <c r="D2" s="2" t="s">
        <v>0</v>
      </c>
      <c r="E2" s="4">
        <v>1414</v>
      </c>
      <c r="F2" s="2">
        <v>0</v>
      </c>
      <c r="G2" s="2">
        <v>0</v>
      </c>
      <c r="H2" s="2">
        <v>0</v>
      </c>
      <c r="I2" s="2">
        <v>22</v>
      </c>
      <c r="J2" s="2">
        <v>50</v>
      </c>
      <c r="K2" s="2" t="s">
        <v>14</v>
      </c>
      <c r="L2" s="2" t="s">
        <v>16</v>
      </c>
    </row>
    <row r="3" spans="1:12" ht="109.2">
      <c r="A3" s="8">
        <f t="shared" ref="A3:A11" si="0">ROW()-2</f>
        <v>1</v>
      </c>
      <c r="B3" s="2" t="s">
        <v>2</v>
      </c>
      <c r="C3" s="2" t="s">
        <v>19</v>
      </c>
      <c r="D3" s="2" t="s">
        <v>0</v>
      </c>
      <c r="E3" s="2">
        <v>771</v>
      </c>
      <c r="F3" s="2">
        <v>1</v>
      </c>
      <c r="G3" s="2">
        <v>0</v>
      </c>
      <c r="H3" s="2">
        <v>1</v>
      </c>
      <c r="I3" s="2">
        <v>15</v>
      </c>
      <c r="J3" s="2">
        <v>26</v>
      </c>
      <c r="K3" s="2" t="s">
        <v>21</v>
      </c>
      <c r="L3" s="2" t="s">
        <v>22</v>
      </c>
    </row>
    <row r="4" spans="1:12" ht="124.8">
      <c r="A4" s="8">
        <f t="shared" si="0"/>
        <v>2</v>
      </c>
      <c r="B4" s="2" t="s">
        <v>3</v>
      </c>
      <c r="C4" s="2" t="s">
        <v>24</v>
      </c>
      <c r="D4" s="2" t="s">
        <v>0</v>
      </c>
      <c r="E4" s="2">
        <v>2750</v>
      </c>
      <c r="F4" s="2">
        <v>1</v>
      </c>
      <c r="G4" s="2">
        <v>1</v>
      </c>
      <c r="H4" s="2">
        <v>2</v>
      </c>
      <c r="I4" s="2">
        <v>15</v>
      </c>
      <c r="J4" s="2">
        <v>0</v>
      </c>
      <c r="K4" s="2" t="s">
        <v>26</v>
      </c>
      <c r="L4" s="2" t="s">
        <v>27</v>
      </c>
    </row>
    <row r="5" spans="1:12" ht="62.4">
      <c r="A5" s="8">
        <f t="shared" si="0"/>
        <v>3</v>
      </c>
      <c r="B5" s="2" t="s">
        <v>4</v>
      </c>
      <c r="C5" s="2" t="s">
        <v>28</v>
      </c>
      <c r="D5" s="2" t="s">
        <v>0</v>
      </c>
      <c r="E5" s="2">
        <v>368</v>
      </c>
      <c r="F5" s="2">
        <v>2</v>
      </c>
      <c r="G5" s="2">
        <v>0</v>
      </c>
      <c r="H5" s="2">
        <v>3</v>
      </c>
      <c r="I5" s="2">
        <v>6</v>
      </c>
      <c r="J5" s="2">
        <v>7</v>
      </c>
      <c r="K5" s="2" t="s">
        <v>30</v>
      </c>
      <c r="L5" s="2" t="s">
        <v>31</v>
      </c>
    </row>
    <row r="6" spans="1:12" ht="124.8">
      <c r="A6" s="8">
        <f t="shared" si="0"/>
        <v>4</v>
      </c>
      <c r="B6" s="2" t="s">
        <v>5</v>
      </c>
      <c r="C6" s="2" t="s">
        <v>32</v>
      </c>
      <c r="D6" s="2" t="s">
        <v>0</v>
      </c>
      <c r="E6" s="2">
        <v>3426</v>
      </c>
      <c r="F6" s="2">
        <v>2</v>
      </c>
      <c r="G6" s="2">
        <v>1</v>
      </c>
      <c r="H6" s="2">
        <v>0</v>
      </c>
      <c r="I6" s="2">
        <v>10</v>
      </c>
      <c r="J6" s="2">
        <v>21</v>
      </c>
      <c r="K6" s="2" t="s">
        <v>33</v>
      </c>
      <c r="L6" s="2" t="s">
        <v>34</v>
      </c>
    </row>
    <row r="7" spans="1:12" ht="93.6">
      <c r="A7" s="8">
        <f t="shared" si="0"/>
        <v>5</v>
      </c>
      <c r="B7" s="2" t="s">
        <v>6</v>
      </c>
      <c r="C7" s="2" t="s">
        <v>35</v>
      </c>
      <c r="D7" s="2" t="s">
        <v>0</v>
      </c>
      <c r="E7" s="2">
        <v>7400</v>
      </c>
      <c r="F7" s="2">
        <v>2</v>
      </c>
      <c r="G7" s="2">
        <v>2</v>
      </c>
      <c r="H7" s="2">
        <v>0</v>
      </c>
      <c r="I7" s="2">
        <v>15</v>
      </c>
      <c r="J7" s="2">
        <v>0</v>
      </c>
      <c r="K7" s="2" t="s">
        <v>37</v>
      </c>
      <c r="L7" s="2" t="s">
        <v>38</v>
      </c>
    </row>
    <row r="8" spans="1:12" ht="62.4">
      <c r="A8" s="8">
        <f t="shared" si="0"/>
        <v>6</v>
      </c>
      <c r="B8" s="2" t="s">
        <v>7</v>
      </c>
      <c r="C8" s="2" t="s">
        <v>40</v>
      </c>
      <c r="D8" s="2" t="s">
        <v>0</v>
      </c>
      <c r="E8" s="2">
        <v>1749</v>
      </c>
      <c r="F8" s="2">
        <v>3</v>
      </c>
      <c r="G8" s="2">
        <v>2</v>
      </c>
      <c r="H8" s="2">
        <v>2</v>
      </c>
      <c r="I8" s="2">
        <v>10</v>
      </c>
      <c r="J8" s="2">
        <v>35</v>
      </c>
      <c r="K8" s="2" t="s">
        <v>42</v>
      </c>
      <c r="L8" s="2" t="s">
        <v>44</v>
      </c>
    </row>
    <row r="9" spans="1:12" ht="187.2">
      <c r="A9" s="8">
        <f t="shared" si="0"/>
        <v>7</v>
      </c>
      <c r="B9" s="2" t="s">
        <v>8</v>
      </c>
      <c r="C9" s="2" t="s">
        <v>43</v>
      </c>
      <c r="D9" s="2" t="s">
        <v>0</v>
      </c>
      <c r="E9" s="2">
        <v>1624</v>
      </c>
      <c r="F9" s="2">
        <v>4</v>
      </c>
      <c r="G9" s="2">
        <v>2</v>
      </c>
      <c r="H9" s="2">
        <v>0</v>
      </c>
      <c r="I9" s="2">
        <v>9</v>
      </c>
      <c r="J9" s="2">
        <v>20</v>
      </c>
      <c r="K9" s="2" t="s">
        <v>37</v>
      </c>
      <c r="L9" s="2" t="s">
        <v>45</v>
      </c>
    </row>
    <row r="10" spans="1:12" ht="93.6">
      <c r="A10" s="8">
        <f t="shared" si="0"/>
        <v>8</v>
      </c>
      <c r="B10" s="2" t="s">
        <v>9</v>
      </c>
      <c r="C10" s="2" t="s">
        <v>46</v>
      </c>
      <c r="D10" s="2" t="s">
        <v>0</v>
      </c>
      <c r="E10" s="2">
        <v>305</v>
      </c>
      <c r="F10" s="2">
        <v>4</v>
      </c>
      <c r="G10" s="2">
        <v>1</v>
      </c>
      <c r="H10" s="2">
        <v>2</v>
      </c>
      <c r="I10" s="2">
        <v>9</v>
      </c>
      <c r="J10" s="2">
        <v>31</v>
      </c>
      <c r="K10" s="2" t="s">
        <v>46</v>
      </c>
      <c r="L10" s="2" t="s">
        <v>47</v>
      </c>
    </row>
    <row r="11" spans="1:12" ht="62.4">
      <c r="A11" s="8">
        <f t="shared" si="0"/>
        <v>9</v>
      </c>
      <c r="B11" s="2" t="s">
        <v>10</v>
      </c>
      <c r="C11" s="2" t="s">
        <v>48</v>
      </c>
      <c r="D11" s="2" t="s">
        <v>0</v>
      </c>
      <c r="E11" s="2">
        <v>2506</v>
      </c>
      <c r="F11" s="2">
        <v>4</v>
      </c>
      <c r="G11" s="2">
        <v>1</v>
      </c>
      <c r="H11" s="2">
        <v>0</v>
      </c>
      <c r="I11" s="2">
        <v>8</v>
      </c>
      <c r="J11" s="2">
        <v>27</v>
      </c>
      <c r="K11" s="2" t="s">
        <v>48</v>
      </c>
      <c r="L11" s="2" t="s">
        <v>49</v>
      </c>
    </row>
    <row r="12" spans="1: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2:12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2:12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2:12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2:1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2:1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2:1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2:1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60E6-2C2B-4A87-9BDD-98C754B2D388}">
  <dimension ref="A1:C11"/>
  <sheetViews>
    <sheetView workbookViewId="0">
      <selection activeCell="C15" sqref="C15"/>
    </sheetView>
  </sheetViews>
  <sheetFormatPr defaultRowHeight="15.6"/>
  <sheetData>
    <row r="1" spans="1:3">
      <c r="A1" t="s">
        <v>130</v>
      </c>
      <c r="B1" t="s">
        <v>120</v>
      </c>
    </row>
    <row r="2" spans="1:3">
      <c r="A2">
        <f>ROW()-2</f>
        <v>0</v>
      </c>
      <c r="B2" t="s">
        <v>15</v>
      </c>
      <c r="C2" s="10"/>
    </row>
    <row r="3" spans="1:3">
      <c r="A3" s="8">
        <f t="shared" ref="A3:A5" si="0">ROW()-2</f>
        <v>1</v>
      </c>
      <c r="B3" t="s">
        <v>23</v>
      </c>
      <c r="C3" s="10"/>
    </row>
    <row r="4" spans="1:3">
      <c r="A4" s="8">
        <f t="shared" si="0"/>
        <v>2</v>
      </c>
      <c r="B4" t="s">
        <v>39</v>
      </c>
      <c r="C4" s="10"/>
    </row>
    <row r="5" spans="1:3">
      <c r="A5" s="8">
        <f t="shared" si="0"/>
        <v>3</v>
      </c>
      <c r="B5" t="s">
        <v>29</v>
      </c>
      <c r="C5" s="10"/>
    </row>
    <row r="6" spans="1:3">
      <c r="C6" s="10"/>
    </row>
    <row r="7" spans="1:3">
      <c r="C7" s="10"/>
    </row>
    <row r="8" spans="1:3">
      <c r="C8" s="10"/>
    </row>
    <row r="9" spans="1:3">
      <c r="C9" s="10"/>
    </row>
    <row r="10" spans="1:3">
      <c r="C10" s="10"/>
    </row>
    <row r="11" spans="1:3">
      <c r="C1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B4C1-3D94-44E4-8489-EC417FE5D33E}">
  <dimension ref="A1:C10"/>
  <sheetViews>
    <sheetView workbookViewId="0">
      <selection sqref="A1:B1"/>
    </sheetView>
  </sheetViews>
  <sheetFormatPr defaultRowHeight="15.6"/>
  <sheetData>
    <row r="1" spans="1:3">
      <c r="A1" t="s">
        <v>130</v>
      </c>
      <c r="B1" s="8" t="s">
        <v>120</v>
      </c>
    </row>
    <row r="2" spans="1:3">
      <c r="A2">
        <f>ROW()-2</f>
        <v>0</v>
      </c>
      <c r="B2" s="8" t="s">
        <v>17</v>
      </c>
      <c r="C2" s="8"/>
    </row>
    <row r="3" spans="1:3">
      <c r="A3" s="8">
        <f t="shared" ref="A3:A6" si="0">ROW()-2</f>
        <v>1</v>
      </c>
      <c r="B3" s="8" t="s">
        <v>20</v>
      </c>
      <c r="C3" s="8"/>
    </row>
    <row r="4" spans="1:3">
      <c r="A4" s="8">
        <f t="shared" si="0"/>
        <v>2</v>
      </c>
      <c r="B4" s="8" t="s">
        <v>11</v>
      </c>
      <c r="C4" s="8"/>
    </row>
    <row r="5" spans="1:3">
      <c r="A5" s="8">
        <f t="shared" si="0"/>
        <v>3</v>
      </c>
      <c r="B5" s="8" t="s">
        <v>41</v>
      </c>
      <c r="C5" s="8"/>
    </row>
    <row r="6" spans="1:3">
      <c r="A6" s="8">
        <f t="shared" si="0"/>
        <v>4</v>
      </c>
      <c r="B6" s="8" t="s">
        <v>12</v>
      </c>
      <c r="C6" s="8"/>
    </row>
    <row r="7" spans="1:3">
      <c r="B7" s="10"/>
    </row>
    <row r="8" spans="1:3">
      <c r="B8" s="10"/>
    </row>
    <row r="9" spans="1:3">
      <c r="B9" s="10"/>
    </row>
    <row r="10" spans="1:3">
      <c r="B1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B83D-657A-4F56-B217-6C13B8F1B6DD}">
  <dimension ref="A1:C11"/>
  <sheetViews>
    <sheetView workbookViewId="0">
      <selection activeCell="E6" sqref="E6"/>
    </sheetView>
  </sheetViews>
  <sheetFormatPr defaultRowHeight="15.6"/>
  <sheetData>
    <row r="1" spans="1:3">
      <c r="A1" s="8" t="s">
        <v>130</v>
      </c>
      <c r="B1" s="8" t="s">
        <v>120</v>
      </c>
    </row>
    <row r="2" spans="1:3">
      <c r="A2">
        <f>ROW()-2</f>
        <v>0</v>
      </c>
      <c r="B2" t="s">
        <v>18</v>
      </c>
      <c r="C2" s="10"/>
    </row>
    <row r="3" spans="1:3">
      <c r="A3" s="8">
        <f t="shared" ref="A3:A4" si="0">ROW()-2</f>
        <v>1</v>
      </c>
      <c r="B3" t="s">
        <v>25</v>
      </c>
      <c r="C3" s="10"/>
    </row>
    <row r="4" spans="1:3">
      <c r="A4" s="8">
        <f t="shared" si="0"/>
        <v>2</v>
      </c>
      <c r="B4" t="s">
        <v>36</v>
      </c>
      <c r="C4" s="10"/>
    </row>
    <row r="5" spans="1:3">
      <c r="C5" s="10"/>
    </row>
    <row r="6" spans="1:3">
      <c r="C6" s="10"/>
    </row>
    <row r="7" spans="1:3">
      <c r="C7" s="10"/>
    </row>
    <row r="8" spans="1:3">
      <c r="C8" s="10"/>
    </row>
    <row r="9" spans="1:3">
      <c r="C9" s="10"/>
    </row>
    <row r="10" spans="1:3">
      <c r="C10" s="10"/>
    </row>
    <row r="11" spans="1:3">
      <c r="C1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A7DC-624D-48EE-B59E-9C3A08CB0862}">
  <dimension ref="A1:E11"/>
  <sheetViews>
    <sheetView workbookViewId="0">
      <selection activeCell="A2" sqref="A2:C11"/>
    </sheetView>
  </sheetViews>
  <sheetFormatPr defaultRowHeight="15.6"/>
  <cols>
    <col min="1" max="1" width="8.796875" style="8"/>
    <col min="2" max="2" width="22.796875" customWidth="1"/>
    <col min="3" max="3" width="49.8984375" customWidth="1"/>
    <col min="4" max="4" width="31.09765625" customWidth="1"/>
    <col min="5" max="5" width="24.296875" customWidth="1"/>
  </cols>
  <sheetData>
    <row r="1" spans="1:5">
      <c r="A1" s="8" t="s">
        <v>130</v>
      </c>
      <c r="B1" s="6" t="s">
        <v>131</v>
      </c>
      <c r="C1" s="6" t="s">
        <v>132</v>
      </c>
      <c r="D1" s="6" t="s">
        <v>133</v>
      </c>
      <c r="E1" s="6" t="s">
        <v>134</v>
      </c>
    </row>
    <row r="2" spans="1:5">
      <c r="A2" s="8">
        <f>ROW()-2</f>
        <v>0</v>
      </c>
      <c r="B2" s="5">
        <v>0</v>
      </c>
      <c r="C2" s="5" t="s">
        <v>51</v>
      </c>
      <c r="D2" s="7" t="s">
        <v>52</v>
      </c>
      <c r="E2" s="5" t="s">
        <v>53</v>
      </c>
    </row>
    <row r="3" spans="1:5">
      <c r="A3" s="8">
        <f t="shared" ref="A3:A11" si="0">ROW()-2</f>
        <v>1</v>
      </c>
      <c r="B3" s="5">
        <v>0</v>
      </c>
      <c r="C3" s="5" t="s">
        <v>54</v>
      </c>
      <c r="D3" s="7" t="s">
        <v>55</v>
      </c>
      <c r="E3" s="5" t="s">
        <v>56</v>
      </c>
    </row>
    <row r="4" spans="1:5">
      <c r="A4" s="8">
        <f t="shared" si="0"/>
        <v>2</v>
      </c>
      <c r="B4" s="5">
        <v>0</v>
      </c>
      <c r="C4" s="5" t="s">
        <v>57</v>
      </c>
      <c r="D4" s="7" t="s">
        <v>58</v>
      </c>
      <c r="E4" s="5" t="s">
        <v>59</v>
      </c>
    </row>
    <row r="5" spans="1:5">
      <c r="A5" s="8">
        <f t="shared" si="0"/>
        <v>3</v>
      </c>
      <c r="B5" s="5">
        <v>1</v>
      </c>
      <c r="C5" s="5" t="s">
        <v>61</v>
      </c>
      <c r="D5" s="7" t="s">
        <v>62</v>
      </c>
      <c r="E5" s="5" t="s">
        <v>63</v>
      </c>
    </row>
    <row r="6" spans="1:5">
      <c r="A6" s="8">
        <f t="shared" si="0"/>
        <v>4</v>
      </c>
      <c r="B6" s="5">
        <v>1</v>
      </c>
      <c r="C6" s="5" t="s">
        <v>64</v>
      </c>
      <c r="D6" s="7" t="s">
        <v>65</v>
      </c>
      <c r="E6" s="5" t="s">
        <v>66</v>
      </c>
    </row>
    <row r="7" spans="1:5">
      <c r="A7" s="8">
        <f t="shared" si="0"/>
        <v>5</v>
      </c>
      <c r="B7" s="5">
        <v>1</v>
      </c>
      <c r="C7" s="5" t="s">
        <v>67</v>
      </c>
      <c r="D7" s="7" t="s">
        <v>68</v>
      </c>
      <c r="E7" s="5" t="s">
        <v>69</v>
      </c>
    </row>
    <row r="8" spans="1:5">
      <c r="A8" s="8">
        <f t="shared" si="0"/>
        <v>6</v>
      </c>
      <c r="B8" s="5">
        <v>2</v>
      </c>
      <c r="C8" s="5" t="s">
        <v>71</v>
      </c>
      <c r="D8" s="7" t="s">
        <v>72</v>
      </c>
      <c r="E8" s="5" t="s">
        <v>73</v>
      </c>
    </row>
    <row r="9" spans="1:5">
      <c r="A9" s="8">
        <f t="shared" si="0"/>
        <v>7</v>
      </c>
      <c r="B9" s="5">
        <v>2</v>
      </c>
      <c r="C9" s="5" t="s">
        <v>51</v>
      </c>
      <c r="D9" s="7" t="s">
        <v>74</v>
      </c>
      <c r="E9" s="5" t="s">
        <v>75</v>
      </c>
    </row>
    <row r="10" spans="1:5">
      <c r="A10" s="8">
        <f t="shared" si="0"/>
        <v>8</v>
      </c>
      <c r="B10" s="5">
        <v>2</v>
      </c>
      <c r="C10" s="5" t="s">
        <v>54</v>
      </c>
      <c r="D10" s="7" t="s">
        <v>76</v>
      </c>
      <c r="E10" s="5" t="s">
        <v>77</v>
      </c>
    </row>
    <row r="11" spans="1:5">
      <c r="A11" s="8">
        <f t="shared" si="0"/>
        <v>9</v>
      </c>
      <c r="B11" s="5">
        <v>2</v>
      </c>
      <c r="C11" s="5" t="s">
        <v>78</v>
      </c>
      <c r="D11" s="7" t="s">
        <v>79</v>
      </c>
      <c r="E11" s="5" t="s">
        <v>80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E3FF-63AC-42AD-B76E-671285F394FB}">
  <dimension ref="A1:C11"/>
  <sheetViews>
    <sheetView workbookViewId="0">
      <selection activeCell="B9" sqref="B9"/>
    </sheetView>
  </sheetViews>
  <sheetFormatPr defaultRowHeight="15.6"/>
  <cols>
    <col min="2" max="2" width="31.69921875" customWidth="1"/>
  </cols>
  <sheetData>
    <row r="1" spans="1:3">
      <c r="A1" t="s">
        <v>130</v>
      </c>
      <c r="B1" t="s">
        <v>120</v>
      </c>
    </row>
    <row r="2" spans="1:3">
      <c r="A2">
        <v>0</v>
      </c>
      <c r="B2" s="5" t="s">
        <v>50</v>
      </c>
      <c r="C2" s="5"/>
    </row>
    <row r="3" spans="1:3">
      <c r="A3">
        <v>1</v>
      </c>
      <c r="B3" s="5" t="s">
        <v>60</v>
      </c>
      <c r="C3" s="5"/>
    </row>
    <row r="4" spans="1:3">
      <c r="A4">
        <v>2</v>
      </c>
      <c r="B4" s="5" t="s">
        <v>70</v>
      </c>
      <c r="C4" s="5"/>
    </row>
    <row r="5" spans="1:3">
      <c r="C5" s="5"/>
    </row>
    <row r="6" spans="1:3">
      <c r="C6" s="5"/>
    </row>
    <row r="7" spans="1:3">
      <c r="C7" s="5"/>
    </row>
    <row r="8" spans="1:3">
      <c r="C8" s="5"/>
    </row>
    <row r="9" spans="1:3">
      <c r="C9" s="5"/>
    </row>
    <row r="10" spans="1:3">
      <c r="C10" s="5"/>
    </row>
    <row r="11" spans="1:3">
      <c r="C1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50C2-225D-4793-A7A2-AE0802288AD5}">
  <dimension ref="A1:H25"/>
  <sheetViews>
    <sheetView workbookViewId="0">
      <selection activeCell="H18" sqref="H18"/>
    </sheetView>
  </sheetViews>
  <sheetFormatPr defaultRowHeight="15.6"/>
  <cols>
    <col min="1" max="1" width="8.796875" style="8"/>
    <col min="3" max="3" width="34.796875" customWidth="1"/>
    <col min="4" max="4" width="30.5" customWidth="1"/>
    <col min="5" max="5" width="15.796875" customWidth="1"/>
    <col min="6" max="6" width="36.69921875" customWidth="1"/>
    <col min="7" max="7" width="17.19921875" customWidth="1"/>
  </cols>
  <sheetData>
    <row r="1" spans="1:8">
      <c r="A1" s="8" t="s">
        <v>130</v>
      </c>
      <c r="B1" s="9" t="s">
        <v>137</v>
      </c>
      <c r="C1" s="9" t="s">
        <v>138</v>
      </c>
      <c r="D1" s="9" t="s">
        <v>139</v>
      </c>
      <c r="E1" s="9" t="s">
        <v>140</v>
      </c>
      <c r="F1" s="9" t="s">
        <v>141</v>
      </c>
      <c r="G1" s="9" t="s">
        <v>143</v>
      </c>
      <c r="H1" s="9" t="s">
        <v>144</v>
      </c>
    </row>
    <row r="2" spans="1:8">
      <c r="A2" s="8">
        <v>0</v>
      </c>
      <c r="B2" s="10">
        <v>1</v>
      </c>
      <c r="C2" s="12">
        <v>45715</v>
      </c>
      <c r="D2" s="12">
        <v>45767</v>
      </c>
      <c r="E2" s="10">
        <v>1</v>
      </c>
      <c r="F2" s="13">
        <v>6</v>
      </c>
      <c r="G2" s="10">
        <v>901</v>
      </c>
      <c r="H2" s="11">
        <v>0</v>
      </c>
    </row>
    <row r="3" spans="1:8">
      <c r="A3" s="8">
        <v>1</v>
      </c>
      <c r="B3" s="11">
        <v>2</v>
      </c>
      <c r="C3" s="12">
        <v>45563</v>
      </c>
      <c r="D3" s="12">
        <v>45768</v>
      </c>
      <c r="E3" s="11">
        <v>11</v>
      </c>
      <c r="F3" s="13">
        <v>0</v>
      </c>
      <c r="G3" s="11">
        <v>902</v>
      </c>
      <c r="H3" s="11">
        <v>0</v>
      </c>
    </row>
    <row r="4" spans="1:8">
      <c r="A4" s="8">
        <v>2</v>
      </c>
      <c r="B4" s="11">
        <v>3</v>
      </c>
      <c r="C4" s="12">
        <v>45737</v>
      </c>
      <c r="D4" s="12">
        <v>45769</v>
      </c>
      <c r="E4" s="10">
        <v>2</v>
      </c>
      <c r="F4" s="13">
        <v>1</v>
      </c>
      <c r="G4" s="10">
        <v>903</v>
      </c>
      <c r="H4" s="11">
        <v>0</v>
      </c>
    </row>
    <row r="5" spans="1:8">
      <c r="A5" s="8">
        <v>3</v>
      </c>
      <c r="B5" s="11">
        <v>4</v>
      </c>
      <c r="C5" s="12">
        <v>45708</v>
      </c>
      <c r="D5" s="12">
        <v>45770</v>
      </c>
      <c r="E5" s="11">
        <v>11</v>
      </c>
      <c r="F5" s="13">
        <v>9</v>
      </c>
      <c r="G5" s="11">
        <v>904</v>
      </c>
      <c r="H5" s="11">
        <v>0</v>
      </c>
    </row>
    <row r="6" spans="1:8">
      <c r="A6" s="8">
        <v>4</v>
      </c>
      <c r="B6" s="11">
        <v>5</v>
      </c>
      <c r="C6" s="12">
        <v>45733</v>
      </c>
      <c r="D6" s="12">
        <v>45771</v>
      </c>
      <c r="E6" s="10">
        <v>2</v>
      </c>
      <c r="F6" s="13">
        <v>6</v>
      </c>
      <c r="G6" s="10">
        <v>905</v>
      </c>
      <c r="H6" s="11">
        <v>0</v>
      </c>
    </row>
    <row r="7" spans="1:8">
      <c r="A7" s="8">
        <v>5</v>
      </c>
      <c r="B7" s="11">
        <v>6</v>
      </c>
      <c r="C7" s="12">
        <v>45717</v>
      </c>
      <c r="D7" s="12">
        <v>45772</v>
      </c>
      <c r="E7" s="11">
        <v>15</v>
      </c>
      <c r="F7" s="13">
        <v>0</v>
      </c>
      <c r="G7" s="11">
        <v>906</v>
      </c>
      <c r="H7" s="11">
        <v>0</v>
      </c>
    </row>
    <row r="8" spans="1:8">
      <c r="A8" s="8">
        <v>6</v>
      </c>
      <c r="B8" s="11">
        <v>7</v>
      </c>
      <c r="C8" s="12" t="s">
        <v>82</v>
      </c>
      <c r="D8" s="12">
        <v>45773</v>
      </c>
      <c r="E8" s="10">
        <v>3</v>
      </c>
      <c r="F8" s="13">
        <v>8</v>
      </c>
      <c r="G8" s="10">
        <v>907</v>
      </c>
      <c r="H8" s="11">
        <v>0</v>
      </c>
    </row>
    <row r="9" spans="1:8">
      <c r="A9" s="8">
        <v>7</v>
      </c>
      <c r="B9" s="11">
        <v>8</v>
      </c>
      <c r="C9" s="12">
        <v>45747</v>
      </c>
      <c r="D9" s="12">
        <v>45774</v>
      </c>
      <c r="E9" s="11">
        <v>19</v>
      </c>
      <c r="F9" s="13">
        <v>9</v>
      </c>
      <c r="G9" s="11">
        <v>908</v>
      </c>
      <c r="H9" s="11">
        <v>1</v>
      </c>
    </row>
    <row r="10" spans="1:8">
      <c r="A10" s="8">
        <v>8</v>
      </c>
      <c r="B10" s="11">
        <v>9</v>
      </c>
      <c r="C10" s="12">
        <v>45749</v>
      </c>
      <c r="D10" s="12">
        <v>45775</v>
      </c>
      <c r="E10" s="10">
        <v>5</v>
      </c>
      <c r="F10" s="13">
        <v>8</v>
      </c>
      <c r="G10" s="10">
        <v>909</v>
      </c>
      <c r="H10" s="11">
        <v>1</v>
      </c>
    </row>
    <row r="11" spans="1:8">
      <c r="A11" s="8">
        <v>9</v>
      </c>
      <c r="B11" s="11">
        <v>10</v>
      </c>
      <c r="C11" s="12">
        <v>45750</v>
      </c>
      <c r="D11" s="12">
        <v>45776</v>
      </c>
      <c r="E11" s="11">
        <v>19</v>
      </c>
      <c r="F11" s="13">
        <v>9</v>
      </c>
      <c r="G11" s="11">
        <v>910</v>
      </c>
      <c r="H11" s="11">
        <v>1</v>
      </c>
    </row>
    <row r="16" spans="1:8">
      <c r="D16" s="8"/>
      <c r="E16" s="5"/>
      <c r="F16" s="5"/>
    </row>
    <row r="17" spans="4:6">
      <c r="D17" s="8"/>
      <c r="E17" s="5"/>
      <c r="F17" s="5"/>
    </row>
    <row r="18" spans="4:6">
      <c r="D18" s="8"/>
      <c r="E18" s="5"/>
      <c r="F18" s="5"/>
    </row>
    <row r="19" spans="4:6">
      <c r="D19" s="8"/>
      <c r="E19" s="5"/>
      <c r="F19" s="5"/>
    </row>
    <row r="20" spans="4:6">
      <c r="D20" s="8"/>
      <c r="E20" s="5"/>
      <c r="F20" s="5"/>
    </row>
    <row r="21" spans="4:6">
      <c r="D21" s="8"/>
      <c r="E21" s="5"/>
      <c r="F21" s="5"/>
    </row>
    <row r="22" spans="4:6">
      <c r="D22" s="8"/>
      <c r="E22" s="5"/>
      <c r="F22" s="5"/>
    </row>
    <row r="23" spans="4:6">
      <c r="D23" s="8"/>
      <c r="E23" s="5"/>
      <c r="F23" s="5"/>
    </row>
    <row r="24" spans="4:6">
      <c r="D24" s="8"/>
      <c r="E24" s="5"/>
      <c r="F24" s="5"/>
    </row>
    <row r="25" spans="4:6">
      <c r="D25" s="8"/>
      <c r="E25" s="5"/>
      <c r="F25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836D-A9F2-4F92-ADFB-8A0840D58638}">
  <dimension ref="A1:B3"/>
  <sheetViews>
    <sheetView workbookViewId="0">
      <selection activeCell="B3" sqref="B3"/>
    </sheetView>
  </sheetViews>
  <sheetFormatPr defaultRowHeight="15.6"/>
  <sheetData>
    <row r="1" spans="1:2">
      <c r="A1" t="s">
        <v>130</v>
      </c>
      <c r="B1" t="s">
        <v>120</v>
      </c>
    </row>
    <row r="2" spans="1:2">
      <c r="A2">
        <v>0</v>
      </c>
      <c r="B2" t="s">
        <v>81</v>
      </c>
    </row>
    <row r="3" spans="1:2">
      <c r="A3">
        <v>1</v>
      </c>
      <c r="B3" t="s">
        <v>142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0179-75C9-4693-A56D-5AF42AD0E096}">
  <dimension ref="A1:J21"/>
  <sheetViews>
    <sheetView workbookViewId="0">
      <selection activeCell="C21" sqref="C21"/>
    </sheetView>
  </sheetViews>
  <sheetFormatPr defaultRowHeight="15.6"/>
  <cols>
    <col min="7" max="7" width="33.69921875" customWidth="1"/>
  </cols>
  <sheetData>
    <row r="1" spans="1:10">
      <c r="A1" t="s">
        <v>130</v>
      </c>
      <c r="B1" t="s">
        <v>135</v>
      </c>
      <c r="C1" t="s">
        <v>136</v>
      </c>
      <c r="D1" t="s">
        <v>127</v>
      </c>
    </row>
    <row r="2" spans="1:10">
      <c r="A2">
        <f>ROW()-2</f>
        <v>0</v>
      </c>
      <c r="B2">
        <v>0</v>
      </c>
      <c r="C2">
        <v>0</v>
      </c>
      <c r="D2">
        <v>2</v>
      </c>
    </row>
    <row r="3" spans="1:10">
      <c r="A3" s="8">
        <f t="shared" ref="A3:A21" si="0">ROW()-2</f>
        <v>1</v>
      </c>
      <c r="B3">
        <v>1</v>
      </c>
      <c r="C3">
        <v>0</v>
      </c>
      <c r="D3">
        <v>2</v>
      </c>
      <c r="I3" s="8"/>
      <c r="J3" s="10"/>
    </row>
    <row r="4" spans="1:10">
      <c r="A4" s="8">
        <f t="shared" si="0"/>
        <v>2</v>
      </c>
      <c r="B4">
        <v>2</v>
      </c>
      <c r="C4">
        <v>1</v>
      </c>
      <c r="D4">
        <v>1</v>
      </c>
      <c r="F4" s="10"/>
      <c r="G4" s="11"/>
      <c r="I4" s="8"/>
      <c r="J4" s="10"/>
    </row>
    <row r="5" spans="1:10">
      <c r="A5" s="8">
        <f t="shared" si="0"/>
        <v>3</v>
      </c>
      <c r="B5">
        <v>3</v>
      </c>
      <c r="C5">
        <v>1</v>
      </c>
      <c r="D5">
        <v>1</v>
      </c>
      <c r="F5" s="11"/>
      <c r="G5" s="11"/>
      <c r="I5" s="8"/>
      <c r="J5" s="10"/>
    </row>
    <row r="6" spans="1:10">
      <c r="A6" s="8">
        <f t="shared" si="0"/>
        <v>4</v>
      </c>
      <c r="B6">
        <v>4</v>
      </c>
      <c r="C6">
        <v>2</v>
      </c>
      <c r="D6">
        <v>10</v>
      </c>
      <c r="F6" s="11"/>
      <c r="G6" s="11"/>
      <c r="I6" s="8"/>
      <c r="J6" s="10"/>
    </row>
    <row r="7" spans="1:10">
      <c r="A7" s="8">
        <f t="shared" si="0"/>
        <v>5</v>
      </c>
      <c r="B7">
        <v>5</v>
      </c>
      <c r="C7">
        <v>2</v>
      </c>
      <c r="D7">
        <v>10</v>
      </c>
      <c r="F7" s="11"/>
      <c r="G7" s="11"/>
      <c r="I7" s="8"/>
      <c r="J7" s="10"/>
    </row>
    <row r="8" spans="1:10">
      <c r="A8" s="8">
        <f t="shared" si="0"/>
        <v>6</v>
      </c>
      <c r="B8">
        <v>6</v>
      </c>
      <c r="C8">
        <v>3</v>
      </c>
      <c r="D8">
        <v>5</v>
      </c>
      <c r="F8" s="11"/>
      <c r="G8" s="11"/>
      <c r="I8" s="8"/>
      <c r="J8" s="10"/>
    </row>
    <row r="9" spans="1:10">
      <c r="A9" s="8">
        <f t="shared" si="0"/>
        <v>7</v>
      </c>
      <c r="B9">
        <v>7</v>
      </c>
      <c r="C9">
        <v>3</v>
      </c>
      <c r="D9">
        <v>4</v>
      </c>
      <c r="F9" s="11"/>
      <c r="G9" s="11"/>
      <c r="I9" s="8"/>
      <c r="J9" s="10"/>
    </row>
    <row r="10" spans="1:10">
      <c r="A10" s="8">
        <f t="shared" si="0"/>
        <v>8</v>
      </c>
      <c r="B10">
        <v>8</v>
      </c>
      <c r="C10">
        <v>4</v>
      </c>
      <c r="D10">
        <v>2</v>
      </c>
      <c r="F10" s="11"/>
      <c r="G10" s="11"/>
      <c r="I10" s="8"/>
      <c r="J10" s="10"/>
    </row>
    <row r="11" spans="1:10">
      <c r="A11" s="8">
        <f t="shared" si="0"/>
        <v>9</v>
      </c>
      <c r="B11">
        <v>9</v>
      </c>
      <c r="C11">
        <v>4</v>
      </c>
      <c r="D11">
        <v>2</v>
      </c>
      <c r="F11" s="11"/>
      <c r="G11" s="11"/>
      <c r="I11" s="8"/>
      <c r="J11" s="10"/>
    </row>
    <row r="12" spans="1:10">
      <c r="A12" s="8">
        <f t="shared" si="0"/>
        <v>10</v>
      </c>
      <c r="B12">
        <v>0</v>
      </c>
      <c r="C12">
        <v>5</v>
      </c>
      <c r="D12">
        <v>2</v>
      </c>
      <c r="F12" s="11"/>
      <c r="G12" s="11"/>
      <c r="I12" s="8"/>
      <c r="J12" s="10"/>
    </row>
    <row r="13" spans="1:10">
      <c r="A13" s="8">
        <f t="shared" si="0"/>
        <v>11</v>
      </c>
      <c r="B13">
        <v>1</v>
      </c>
      <c r="C13">
        <v>5</v>
      </c>
      <c r="D13">
        <v>2</v>
      </c>
      <c r="F13" s="11"/>
      <c r="G13" s="11"/>
    </row>
    <row r="14" spans="1:10">
      <c r="A14" s="8">
        <f t="shared" si="0"/>
        <v>12</v>
      </c>
      <c r="B14">
        <v>2</v>
      </c>
      <c r="C14">
        <v>6</v>
      </c>
      <c r="D14">
        <v>1</v>
      </c>
    </row>
    <row r="15" spans="1:10">
      <c r="A15" s="8">
        <f t="shared" si="0"/>
        <v>13</v>
      </c>
      <c r="B15">
        <v>3</v>
      </c>
      <c r="C15">
        <v>6</v>
      </c>
      <c r="D15">
        <v>1</v>
      </c>
    </row>
    <row r="16" spans="1:10">
      <c r="A16" s="8">
        <f t="shared" si="0"/>
        <v>14</v>
      </c>
      <c r="B16">
        <v>4</v>
      </c>
      <c r="C16">
        <v>7</v>
      </c>
      <c r="D16">
        <v>10</v>
      </c>
    </row>
    <row r="17" spans="1:4">
      <c r="A17" s="8">
        <f t="shared" si="0"/>
        <v>15</v>
      </c>
      <c r="B17">
        <v>5</v>
      </c>
      <c r="C17">
        <v>7</v>
      </c>
      <c r="D17">
        <v>10</v>
      </c>
    </row>
    <row r="18" spans="1:4">
      <c r="A18" s="8">
        <f t="shared" si="0"/>
        <v>16</v>
      </c>
      <c r="B18">
        <v>6</v>
      </c>
      <c r="C18">
        <v>8</v>
      </c>
      <c r="D18">
        <v>5</v>
      </c>
    </row>
    <row r="19" spans="1:4">
      <c r="A19" s="8">
        <f t="shared" si="0"/>
        <v>17</v>
      </c>
      <c r="B19">
        <v>7</v>
      </c>
      <c r="C19">
        <v>8</v>
      </c>
      <c r="D19">
        <v>4</v>
      </c>
    </row>
    <row r="20" spans="1:4">
      <c r="A20" s="8">
        <f t="shared" si="0"/>
        <v>18</v>
      </c>
      <c r="B20">
        <v>8</v>
      </c>
      <c r="C20">
        <v>9</v>
      </c>
      <c r="D20">
        <v>2</v>
      </c>
    </row>
    <row r="21" spans="1:4">
      <c r="A21" s="8">
        <f t="shared" si="0"/>
        <v>19</v>
      </c>
      <c r="B21">
        <v>9</v>
      </c>
      <c r="C21">
        <v>9</v>
      </c>
      <c r="D2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AB37-5DAD-4188-952C-55EE42BF838F}">
  <dimension ref="A1:B37"/>
  <sheetViews>
    <sheetView workbookViewId="0">
      <selection activeCell="I28" sqref="I28"/>
    </sheetView>
  </sheetViews>
  <sheetFormatPr defaultRowHeight="15.6"/>
  <cols>
    <col min="1" max="1" width="8.796875" style="8"/>
  </cols>
  <sheetData>
    <row r="1" spans="1:2" s="8" customFormat="1">
      <c r="A1" s="8" t="s">
        <v>130</v>
      </c>
      <c r="B1" s="8" t="s">
        <v>120</v>
      </c>
    </row>
    <row r="2" spans="1:2">
      <c r="A2" s="8">
        <f>ROW()-2</f>
        <v>0</v>
      </c>
      <c r="B2" t="s">
        <v>83</v>
      </c>
    </row>
    <row r="3" spans="1:2">
      <c r="A3" s="8">
        <f t="shared" ref="A3:A37" si="0">ROW()-2</f>
        <v>1</v>
      </c>
      <c r="B3" t="s">
        <v>84</v>
      </c>
    </row>
    <row r="4" spans="1:2">
      <c r="A4" s="8">
        <f t="shared" si="0"/>
        <v>2</v>
      </c>
      <c r="B4" t="s">
        <v>85</v>
      </c>
    </row>
    <row r="5" spans="1:2">
      <c r="A5" s="8">
        <f t="shared" si="0"/>
        <v>3</v>
      </c>
      <c r="B5" t="s">
        <v>86</v>
      </c>
    </row>
    <row r="6" spans="1:2">
      <c r="A6" s="8">
        <f t="shared" si="0"/>
        <v>4</v>
      </c>
      <c r="B6" t="s">
        <v>87</v>
      </c>
    </row>
    <row r="7" spans="1:2">
      <c r="A7" s="8">
        <f t="shared" si="0"/>
        <v>5</v>
      </c>
      <c r="B7" t="s">
        <v>88</v>
      </c>
    </row>
    <row r="8" spans="1:2">
      <c r="A8" s="8">
        <f t="shared" si="0"/>
        <v>6</v>
      </c>
      <c r="B8" t="s">
        <v>89</v>
      </c>
    </row>
    <row r="9" spans="1:2">
      <c r="A9" s="8">
        <f t="shared" si="0"/>
        <v>7</v>
      </c>
      <c r="B9" t="s">
        <v>90</v>
      </c>
    </row>
    <row r="10" spans="1:2">
      <c r="A10" s="8">
        <f t="shared" si="0"/>
        <v>8</v>
      </c>
      <c r="B10" t="s">
        <v>91</v>
      </c>
    </row>
    <row r="11" spans="1:2">
      <c r="A11" s="8">
        <f t="shared" si="0"/>
        <v>9</v>
      </c>
      <c r="B11" t="s">
        <v>92</v>
      </c>
    </row>
    <row r="12" spans="1:2">
      <c r="A12" s="8">
        <f t="shared" si="0"/>
        <v>10</v>
      </c>
      <c r="B12" t="s">
        <v>93</v>
      </c>
    </row>
    <row r="13" spans="1:2">
      <c r="A13" s="8">
        <f t="shared" si="0"/>
        <v>11</v>
      </c>
      <c r="B13" t="s">
        <v>94</v>
      </c>
    </row>
    <row r="14" spans="1:2">
      <c r="A14" s="8">
        <f t="shared" si="0"/>
        <v>12</v>
      </c>
      <c r="B14" t="s">
        <v>95</v>
      </c>
    </row>
    <row r="15" spans="1:2">
      <c r="A15" s="8">
        <f t="shared" si="0"/>
        <v>13</v>
      </c>
      <c r="B15" t="s">
        <v>96</v>
      </c>
    </row>
    <row r="16" spans="1:2">
      <c r="A16" s="8">
        <f t="shared" si="0"/>
        <v>14</v>
      </c>
      <c r="B16" t="s">
        <v>97</v>
      </c>
    </row>
    <row r="17" spans="1:2">
      <c r="A17" s="8">
        <f t="shared" si="0"/>
        <v>15</v>
      </c>
      <c r="B17" t="s">
        <v>98</v>
      </c>
    </row>
    <row r="18" spans="1:2">
      <c r="A18" s="8">
        <f t="shared" si="0"/>
        <v>16</v>
      </c>
      <c r="B18" t="s">
        <v>99</v>
      </c>
    </row>
    <row r="19" spans="1:2">
      <c r="A19" s="8">
        <f t="shared" si="0"/>
        <v>17</v>
      </c>
      <c r="B19" t="s">
        <v>100</v>
      </c>
    </row>
    <row r="20" spans="1:2">
      <c r="A20" s="8">
        <f t="shared" si="0"/>
        <v>18</v>
      </c>
      <c r="B20" t="s">
        <v>101</v>
      </c>
    </row>
    <row r="21" spans="1:2">
      <c r="A21" s="8">
        <f t="shared" si="0"/>
        <v>19</v>
      </c>
      <c r="B21" t="s">
        <v>102</v>
      </c>
    </row>
    <row r="22" spans="1:2">
      <c r="A22" s="8">
        <f t="shared" si="0"/>
        <v>20</v>
      </c>
      <c r="B22" t="s">
        <v>103</v>
      </c>
    </row>
    <row r="23" spans="1:2">
      <c r="A23" s="8">
        <f t="shared" si="0"/>
        <v>21</v>
      </c>
      <c r="B23" t="s">
        <v>104</v>
      </c>
    </row>
    <row r="24" spans="1:2">
      <c r="A24" s="8">
        <f t="shared" si="0"/>
        <v>22</v>
      </c>
      <c r="B24" t="s">
        <v>105</v>
      </c>
    </row>
    <row r="25" spans="1:2">
      <c r="A25" s="8">
        <f t="shared" si="0"/>
        <v>23</v>
      </c>
      <c r="B25" t="s">
        <v>106</v>
      </c>
    </row>
    <row r="26" spans="1:2">
      <c r="A26" s="8">
        <f t="shared" si="0"/>
        <v>24</v>
      </c>
      <c r="B26" t="s">
        <v>107</v>
      </c>
    </row>
    <row r="27" spans="1:2">
      <c r="A27" s="8">
        <f t="shared" si="0"/>
        <v>25</v>
      </c>
      <c r="B27" t="s">
        <v>108</v>
      </c>
    </row>
    <row r="28" spans="1:2">
      <c r="A28" s="8">
        <f t="shared" si="0"/>
        <v>26</v>
      </c>
      <c r="B28" t="s">
        <v>109</v>
      </c>
    </row>
    <row r="29" spans="1:2">
      <c r="A29" s="8">
        <f t="shared" si="0"/>
        <v>27</v>
      </c>
      <c r="B29" t="s">
        <v>110</v>
      </c>
    </row>
    <row r="30" spans="1:2">
      <c r="A30" s="8">
        <f t="shared" si="0"/>
        <v>28</v>
      </c>
      <c r="B30" t="s">
        <v>111</v>
      </c>
    </row>
    <row r="31" spans="1:2">
      <c r="A31" s="8">
        <f t="shared" si="0"/>
        <v>29</v>
      </c>
      <c r="B31" t="s">
        <v>112</v>
      </c>
    </row>
    <row r="32" spans="1:2">
      <c r="A32" s="8">
        <f t="shared" si="0"/>
        <v>30</v>
      </c>
      <c r="B32" t="s">
        <v>113</v>
      </c>
    </row>
    <row r="33" spans="1:2">
      <c r="A33" s="8">
        <f t="shared" si="0"/>
        <v>31</v>
      </c>
      <c r="B33" t="s">
        <v>114</v>
      </c>
    </row>
    <row r="34" spans="1:2">
      <c r="A34" s="8">
        <f t="shared" si="0"/>
        <v>32</v>
      </c>
      <c r="B34" t="s">
        <v>115</v>
      </c>
    </row>
    <row r="35" spans="1:2">
      <c r="A35" s="8">
        <f t="shared" si="0"/>
        <v>33</v>
      </c>
      <c r="B35" t="s">
        <v>116</v>
      </c>
    </row>
    <row r="36" spans="1:2">
      <c r="A36" s="8">
        <f t="shared" si="0"/>
        <v>34</v>
      </c>
      <c r="B36" t="s">
        <v>117</v>
      </c>
    </row>
    <row r="37" spans="1:2">
      <c r="A37" s="8">
        <f t="shared" si="0"/>
        <v>35</v>
      </c>
      <c r="B3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Products</vt:lpstr>
      <vt:lpstr>Categories</vt:lpstr>
      <vt:lpstr>Suppliers</vt:lpstr>
      <vt:lpstr>Manufactirers</vt:lpstr>
      <vt:lpstr>Users</vt:lpstr>
      <vt:lpstr>Roles</vt:lpstr>
      <vt:lpstr>Orders</vt:lpstr>
      <vt:lpstr>Statuses</vt:lpstr>
      <vt:lpstr>OrderItems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ъъъ ь</cp:lastModifiedBy>
  <dcterms:created xsi:type="dcterms:W3CDTF">2022-01-17T17:43:46Z</dcterms:created>
  <dcterms:modified xsi:type="dcterms:W3CDTF">2026-06-10T09:05:19Z</dcterms:modified>
</cp:coreProperties>
</file>